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xuanwang/Code/qsdsan-dev/EXPOsan/exposan/pm2_ecorecover_lca/data/"/>
    </mc:Choice>
  </mc:AlternateContent>
  <xr:revisionPtr revIDLastSave="0" documentId="13_ncr:1_{82D2D005-7F8F-1246-B5AB-5DFA30929AD6}" xr6:coauthVersionLast="47" xr6:coauthVersionMax="47" xr10:uidLastSave="{00000000-0000-0000-0000-000000000000}"/>
  <bookViews>
    <workbookView xWindow="0" yWindow="760" windowWidth="34560" windowHeight="21580" activeTab="2" xr2:uid="{BD97E243-0BB4-3F42-9EBC-00D49E7EE019}"/>
  </bookViews>
  <sheets>
    <sheet name="info" sheetId="2" r:id="rId1"/>
    <sheet name="GWP" sheetId="1" r:id="rId2"/>
    <sheet name="EU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D5" i="6"/>
  <c r="E5" i="1"/>
  <c r="D5" i="1"/>
  <c r="D14" i="6" l="1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3" i="6"/>
  <c r="E3" i="6"/>
  <c r="D4" i="6"/>
  <c r="E4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E2" i="6"/>
  <c r="D2" i="6"/>
  <c r="E3" i="1"/>
  <c r="E4" i="1"/>
  <c r="D3" i="1"/>
  <c r="D4" i="1"/>
  <c r="D6" i="1"/>
  <c r="D7" i="1"/>
  <c r="E26" i="1"/>
  <c r="D16" i="1" l="1"/>
  <c r="D10" i="1"/>
  <c r="D18" i="1"/>
  <c r="E10" i="1"/>
  <c r="E18" i="1"/>
  <c r="E11" i="1"/>
  <c r="E19" i="1"/>
  <c r="D12" i="1"/>
  <c r="E12" i="1"/>
  <c r="D13" i="1"/>
  <c r="D20" i="1"/>
  <c r="E13" i="1"/>
  <c r="E20" i="1"/>
  <c r="D14" i="1"/>
  <c r="D21" i="1"/>
  <c r="E6" i="1"/>
  <c r="E14" i="1"/>
  <c r="E21" i="1"/>
  <c r="D15" i="1"/>
  <c r="D22" i="1"/>
  <c r="E7" i="1"/>
  <c r="E15" i="1"/>
  <c r="E22" i="1"/>
  <c r="D8" i="1"/>
  <c r="D23" i="1"/>
  <c r="E8" i="1"/>
  <c r="E16" i="1"/>
  <c r="E23" i="1"/>
  <c r="D9" i="1"/>
  <c r="D17" i="1"/>
  <c r="D24" i="1"/>
  <c r="E9" i="1"/>
  <c r="E17" i="1"/>
  <c r="E24" i="1"/>
  <c r="D25" i="1"/>
  <c r="E25" i="1"/>
  <c r="D11" i="1"/>
  <c r="D19" i="1"/>
  <c r="D26" i="1"/>
  <c r="E2" i="1" l="1"/>
  <c r="D2" i="1"/>
</calcChain>
</file>

<file path=xl/sharedStrings.xml><?xml version="1.0" encoding="utf-8"?>
<sst xmlns="http://schemas.openxmlformats.org/spreadsheetml/2006/main" count="318" uniqueCount="66">
  <si>
    <t>uniform</t>
  </si>
  <si>
    <t>distribution</t>
  </si>
  <si>
    <t>high</t>
  </si>
  <si>
    <t>low</t>
  </si>
  <si>
    <t>expected</t>
  </si>
  <si>
    <t>functional_unit</t>
  </si>
  <si>
    <t>kg</t>
  </si>
  <si>
    <t>StainlessSteel</t>
  </si>
  <si>
    <t>ID</t>
  </si>
  <si>
    <t>unit</t>
  </si>
  <si>
    <t>kg CO2-eq</t>
  </si>
  <si>
    <t>ea</t>
  </si>
  <si>
    <t>Pump</t>
  </si>
  <si>
    <t>ElectricCables</t>
  </si>
  <si>
    <t>Fan</t>
  </si>
  <si>
    <t>HeatingUnit</t>
  </si>
  <si>
    <t>Polycarbonate</t>
  </si>
  <si>
    <t>ControlUnits</t>
  </si>
  <si>
    <t>Aluminum</t>
  </si>
  <si>
    <t>ElectronicsPassive</t>
  </si>
  <si>
    <t>ElectronicsActive</t>
  </si>
  <si>
    <t>GFRPlastic</t>
  </si>
  <si>
    <t>Compressor_4kW</t>
  </si>
  <si>
    <t>Compressor_300kW</t>
  </si>
  <si>
    <t>Copper</t>
  </si>
  <si>
    <t>UltrafiltrationModule</t>
  </si>
  <si>
    <t>PVC</t>
  </si>
  <si>
    <t>HDPE</t>
  </si>
  <si>
    <t>LED</t>
  </si>
  <si>
    <t>NaturalGas</t>
  </si>
  <si>
    <t>Cement</t>
  </si>
  <si>
    <t>Ammonia</t>
  </si>
  <si>
    <t>CastIron</t>
  </si>
  <si>
    <t>LowCarbonSteel</t>
  </si>
  <si>
    <t>Borosilicate</t>
  </si>
  <si>
    <t>m3</t>
  </si>
  <si>
    <t>ecoinvent 3.11 - cutoff, TRACI v2.1 no LT</t>
  </si>
  <si>
    <t>market for water pump, 22kW</t>
  </si>
  <si>
    <t>market for steel, chromium steel 18/8</t>
  </si>
  <si>
    <t>heat and power co-generation unit construction, 200kW electrical, components for heat only</t>
  </si>
  <si>
    <t>blower and heat exchange unit production, central, 600-1200 m3/h</t>
  </si>
  <si>
    <t>market for polycarbonate</t>
  </si>
  <si>
    <t>market for electronics, for control units</t>
  </si>
  <si>
    <t>market for aluminium, wrought alloy</t>
  </si>
  <si>
    <t>market for cable, unspecified</t>
  </si>
  <si>
    <t>market for electronic component, passive, unspecified</t>
  </si>
  <si>
    <t>market for electronic component, active, unspecified</t>
  </si>
  <si>
    <t>market for glass fibre reinforced plastic, polyamide, injection moulded</t>
  </si>
  <si>
    <t>market for ultrafiltration module</t>
  </si>
  <si>
    <t>air compressor production, screw-type compressor, 4kW</t>
  </si>
  <si>
    <t>air compressor production, screw-type compressor, 300kW</t>
  </si>
  <si>
    <t>polyvinyl chloride production, unspecified polymerisation, weighted average</t>
  </si>
  <si>
    <t>market for polyethylene, high density, granulate</t>
  </si>
  <si>
    <t>market for light emitting diode</t>
  </si>
  <si>
    <t>market for copper-rich materials</t>
  </si>
  <si>
    <t>market for natural gas, liquefied</t>
  </si>
  <si>
    <t>cement, all types to generic market for cement, unspecified</t>
  </si>
  <si>
    <t>market for ammonia, anhydrous, liquid</t>
  </si>
  <si>
    <t>cast iron turning, average, conventional</t>
  </si>
  <si>
    <t>market for steel, low-alloyed</t>
  </si>
  <si>
    <t>market for glass tube, borosilicate</t>
  </si>
  <si>
    <t>methods</t>
  </si>
  <si>
    <t>links</t>
  </si>
  <si>
    <t>GasBoiler</t>
  </si>
  <si>
    <t>gas boiler production</t>
  </si>
  <si>
    <t>kg N-eq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</si>
</sst>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/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1/cutoff/dataset/4729/impact_assessment" TargetMode="External"/><Relationship Id="rId13" Type="http://schemas.openxmlformats.org/officeDocument/2006/relationships/hyperlink" Target="https://ecoquery.ecoinvent.org/3.11/cutoff/dataset/1369/impact_assessment" TargetMode="External"/><Relationship Id="rId18" Type="http://schemas.openxmlformats.org/officeDocument/2006/relationships/hyperlink" Target="https://ecoquery.ecoinvent.org/3.11/cutoff/dataset/22603/impact_assessmenthttps:/ecoquery.ecoinvent.org/3.11/cutoff/dataset/22603/impact_assessment" TargetMode="External"/><Relationship Id="rId3" Type="http://schemas.openxmlformats.org/officeDocument/2006/relationships/hyperlink" Target="https://ecoquery.ecoinvent.org/3.11/cutoff/dataset/1483/impact_assessment" TargetMode="External"/><Relationship Id="rId21" Type="http://schemas.openxmlformats.org/officeDocument/2006/relationships/hyperlink" Target="https://ecoquery.ecoinvent.org/3.11/cutoff/dataset/5610/documentation" TargetMode="External"/><Relationship Id="rId7" Type="http://schemas.openxmlformats.org/officeDocument/2006/relationships/hyperlink" Target="https://ecoquery.ecoinvent.org/3.11/cutoff/dataset/1666/impact_assessment" TargetMode="External"/><Relationship Id="rId12" Type="http://schemas.openxmlformats.org/officeDocument/2006/relationships/hyperlink" Target="https://ecoquery.ecoinvent.org/3.11/cutoff/dataset/7945/impact_assessment" TargetMode="External"/><Relationship Id="rId17" Type="http://schemas.openxmlformats.org/officeDocument/2006/relationships/hyperlink" Target="https://ecoquery.ecoinvent.org/3.11/cutoff/dataset/20071/impact_assessment" TargetMode="External"/><Relationship Id="rId25" Type="http://schemas.openxmlformats.org/officeDocument/2006/relationships/hyperlink" Target="https://ecoquery.ecoinvent.org/3.11/cutoff/dataset/1884/impact_assessment" TargetMode="External"/><Relationship Id="rId2" Type="http://schemas.openxmlformats.org/officeDocument/2006/relationships/hyperlink" Target="https://ecoquery.ecoinvent.org/3.11/cutoff/dataset/1180/impact_assessment" TargetMode="External"/><Relationship Id="rId16" Type="http://schemas.openxmlformats.org/officeDocument/2006/relationships/hyperlink" Target="https://ecoquery.ecoinvent.org/3.11/cutoff/dataset/23271/impact_assessment" TargetMode="External"/><Relationship Id="rId20" Type="http://schemas.openxmlformats.org/officeDocument/2006/relationships/hyperlink" Target="https://ecoquery.ecoinvent.org/3.11/cutoff/dataset/7099/impact_assessment" TargetMode="External"/><Relationship Id="rId1" Type="http://schemas.openxmlformats.org/officeDocument/2006/relationships/hyperlink" Target="https://ecoquery.ecoinvent.org/3.11/cutoff/dataset/3468/impact_assessment" TargetMode="External"/><Relationship Id="rId6" Type="http://schemas.openxmlformats.org/officeDocument/2006/relationships/hyperlink" Target="https://ecoquery.ecoinvent.org/3.11/cutoff/dataset/3606/impact_assessment" TargetMode="External"/><Relationship Id="rId11" Type="http://schemas.openxmlformats.org/officeDocument/2006/relationships/hyperlink" Target="https://ecoquery.ecoinvent.org/3.11/cutoff/dataset/6242/impact_assessment" TargetMode="External"/><Relationship Id="rId24" Type="http://schemas.openxmlformats.org/officeDocument/2006/relationships/hyperlink" Target="https://ecoquery.ecoinvent.org/3.11/cutoff/dataset/5037/impact_assessment" TargetMode="External"/><Relationship Id="rId5" Type="http://schemas.openxmlformats.org/officeDocument/2006/relationships/hyperlink" Target="https://ecoquery.ecoinvent.org/3.11/cutoff/dataset/5813/impact_assessment" TargetMode="External"/><Relationship Id="rId15" Type="http://schemas.openxmlformats.org/officeDocument/2006/relationships/hyperlink" Target="https://ecoquery.ecoinvent.org/3.11/cutoff/dataset/946/impact_assessment" TargetMode="External"/><Relationship Id="rId23" Type="http://schemas.openxmlformats.org/officeDocument/2006/relationships/hyperlink" Target="https://ecoquery.ecoinvent.org/3.11/cutoff/dataset/3094/documentation" TargetMode="External"/><Relationship Id="rId10" Type="http://schemas.openxmlformats.org/officeDocument/2006/relationships/hyperlink" Target="https://ecoquery.ecoinvent.org/3.11/cutoff/dataset/11679/documentation" TargetMode="External"/><Relationship Id="rId19" Type="http://schemas.openxmlformats.org/officeDocument/2006/relationships/hyperlink" Target="https://ecoquery.ecoinvent.org/3.11/cutoff/dataset/3611/impact_assessmenthttps:/ecoquery.ecoinvent.org/3.11/cutoff/dataset/3611/impact_assessment" TargetMode="External"/><Relationship Id="rId4" Type="http://schemas.openxmlformats.org/officeDocument/2006/relationships/hyperlink" Target="https://ecoquery.ecoinvent.org/3.11/cutoff/dataset/27784/impact_assessment" TargetMode="External"/><Relationship Id="rId9" Type="http://schemas.openxmlformats.org/officeDocument/2006/relationships/hyperlink" Target="https://ecoquery.ecoinvent.org/3.11/cutoff/dataset/4111/impact_assessment" TargetMode="External"/><Relationship Id="rId14" Type="http://schemas.openxmlformats.org/officeDocument/2006/relationships/hyperlink" Target="khttps://ecoquery.ecoinvent.org/3.11/cutoff/dataset/5563/impact_assessment" TargetMode="External"/><Relationship Id="rId22" Type="http://schemas.openxmlformats.org/officeDocument/2006/relationships/hyperlink" Target="https://ecoquery.ecoinvent.org/3.11/cutoff/dataset/20579/documentat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1/cutoff/dataset/4729/impact_assessment" TargetMode="External"/><Relationship Id="rId13" Type="http://schemas.openxmlformats.org/officeDocument/2006/relationships/hyperlink" Target="https://ecoquery.ecoinvent.org/3.11/cutoff/dataset/1369/impact_assessment" TargetMode="External"/><Relationship Id="rId18" Type="http://schemas.openxmlformats.org/officeDocument/2006/relationships/hyperlink" Target="https://ecoquery.ecoinvent.org/3.11/cutoff/dataset/22603/impact_assessmenthttps:/ecoquery.ecoinvent.org/3.11/cutoff/dataset/22603/impact_assessment" TargetMode="External"/><Relationship Id="rId3" Type="http://schemas.openxmlformats.org/officeDocument/2006/relationships/hyperlink" Target="https://ecoquery.ecoinvent.org/3.11/cutoff/dataset/1483/impact_assessment" TargetMode="External"/><Relationship Id="rId21" Type="http://schemas.openxmlformats.org/officeDocument/2006/relationships/hyperlink" Target="https://ecoquery.ecoinvent.org/3.11/cutoff/dataset/5610/documentation" TargetMode="External"/><Relationship Id="rId7" Type="http://schemas.openxmlformats.org/officeDocument/2006/relationships/hyperlink" Target="https://ecoquery.ecoinvent.org/3.11/cutoff/dataset/1666/impact_assessment" TargetMode="External"/><Relationship Id="rId12" Type="http://schemas.openxmlformats.org/officeDocument/2006/relationships/hyperlink" Target="https://ecoquery.ecoinvent.org/3.11/cutoff/dataset/7945/impact_assessment" TargetMode="External"/><Relationship Id="rId17" Type="http://schemas.openxmlformats.org/officeDocument/2006/relationships/hyperlink" Target="https://ecoquery.ecoinvent.org/3.11/cutoff/dataset/20071/impact_assessment" TargetMode="External"/><Relationship Id="rId25" Type="http://schemas.openxmlformats.org/officeDocument/2006/relationships/hyperlink" Target="https://ecoquery.ecoinvent.org/3.11/cutoff/dataset/1884/impact_assessment" TargetMode="External"/><Relationship Id="rId2" Type="http://schemas.openxmlformats.org/officeDocument/2006/relationships/hyperlink" Target="https://ecoquery.ecoinvent.org/3.11/cutoff/dataset/1180/impact_assessment" TargetMode="External"/><Relationship Id="rId16" Type="http://schemas.openxmlformats.org/officeDocument/2006/relationships/hyperlink" Target="https://ecoquery.ecoinvent.org/3.11/cutoff/dataset/23271/impact_assessment" TargetMode="External"/><Relationship Id="rId20" Type="http://schemas.openxmlformats.org/officeDocument/2006/relationships/hyperlink" Target="https://ecoquery.ecoinvent.org/3.11/cutoff/dataset/7099/impact_assessment" TargetMode="External"/><Relationship Id="rId1" Type="http://schemas.openxmlformats.org/officeDocument/2006/relationships/hyperlink" Target="https://ecoquery.ecoinvent.org/3.11/cutoff/dataset/3468/impact_assessment" TargetMode="External"/><Relationship Id="rId6" Type="http://schemas.openxmlformats.org/officeDocument/2006/relationships/hyperlink" Target="https://ecoquery.ecoinvent.org/3.11/cutoff/dataset/3606/impact_assessment" TargetMode="External"/><Relationship Id="rId11" Type="http://schemas.openxmlformats.org/officeDocument/2006/relationships/hyperlink" Target="https://ecoquery.ecoinvent.org/3.11/cutoff/dataset/6242/impact_assessment" TargetMode="External"/><Relationship Id="rId24" Type="http://schemas.openxmlformats.org/officeDocument/2006/relationships/hyperlink" Target="https://ecoquery.ecoinvent.org/3.11/cutoff/dataset/5037/impact_assessment" TargetMode="External"/><Relationship Id="rId5" Type="http://schemas.openxmlformats.org/officeDocument/2006/relationships/hyperlink" Target="https://ecoquery.ecoinvent.org/3.11/cutoff/dataset/5813/impact_assessment" TargetMode="External"/><Relationship Id="rId15" Type="http://schemas.openxmlformats.org/officeDocument/2006/relationships/hyperlink" Target="https://ecoquery.ecoinvent.org/3.11/cutoff/dataset/946/impact_assessment" TargetMode="External"/><Relationship Id="rId23" Type="http://schemas.openxmlformats.org/officeDocument/2006/relationships/hyperlink" Target="https://ecoquery.ecoinvent.org/3.11/cutoff/dataset/3094/documentation" TargetMode="External"/><Relationship Id="rId10" Type="http://schemas.openxmlformats.org/officeDocument/2006/relationships/hyperlink" Target="https://ecoquery.ecoinvent.org/3.11/cutoff/dataset/11679/documentation" TargetMode="External"/><Relationship Id="rId19" Type="http://schemas.openxmlformats.org/officeDocument/2006/relationships/hyperlink" Target="https://ecoquery.ecoinvent.org/3.11/cutoff/dataset/3611/impact_assessmenthttps:/ecoquery.ecoinvent.org/3.11/cutoff/dataset/3611/impact_assessment" TargetMode="External"/><Relationship Id="rId4" Type="http://schemas.openxmlformats.org/officeDocument/2006/relationships/hyperlink" Target="https://ecoquery.ecoinvent.org/3.11/cutoff/dataset/27784/impact_assessment" TargetMode="External"/><Relationship Id="rId9" Type="http://schemas.openxmlformats.org/officeDocument/2006/relationships/hyperlink" Target="https://ecoquery.ecoinvent.org/3.11/cutoff/dataset/4111/impact_assessment" TargetMode="External"/><Relationship Id="rId14" Type="http://schemas.openxmlformats.org/officeDocument/2006/relationships/hyperlink" Target="khttps://ecoquery.ecoinvent.org/3.11/cutoff/dataset/5563/impact_assessment" TargetMode="External"/><Relationship Id="rId22" Type="http://schemas.openxmlformats.org/officeDocument/2006/relationships/hyperlink" Target="https://ecoquery.ecoinvent.org/3.11/cutoff/dataset/20579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9A7A-E84B-1346-816F-577916F7D6A6}">
  <dimension ref="A1:B26"/>
  <sheetViews>
    <sheetView zoomScale="190" zoomScaleNormal="190" workbookViewId="0">
      <selection activeCell="A26" sqref="A26:XFD26"/>
    </sheetView>
  </sheetViews>
  <sheetFormatPr baseColWidth="10" defaultColWidth="10.6640625" defaultRowHeight="16" x14ac:dyDescent="0.2"/>
  <cols>
    <col min="1" max="1" width="19" bestFit="1" customWidth="1"/>
    <col min="2" max="2" width="18.33203125" bestFit="1" customWidth="1"/>
  </cols>
  <sheetData>
    <row r="1" spans="1:2" x14ac:dyDescent="0.2">
      <c r="A1" s="2" t="s">
        <v>8</v>
      </c>
      <c r="B1" s="2" t="s">
        <v>5</v>
      </c>
    </row>
    <row r="2" spans="1:2" x14ac:dyDescent="0.2">
      <c r="A2" t="s">
        <v>12</v>
      </c>
      <c r="B2" t="s">
        <v>11</v>
      </c>
    </row>
    <row r="3" spans="1:2" x14ac:dyDescent="0.2">
      <c r="A3" t="s">
        <v>7</v>
      </c>
      <c r="B3" t="s">
        <v>6</v>
      </c>
    </row>
    <row r="4" spans="1:2" x14ac:dyDescent="0.2">
      <c r="A4" t="s">
        <v>15</v>
      </c>
      <c r="B4" t="s">
        <v>11</v>
      </c>
    </row>
    <row r="5" spans="1:2" x14ac:dyDescent="0.2">
      <c r="A5" t="s">
        <v>63</v>
      </c>
      <c r="B5" t="s">
        <v>11</v>
      </c>
    </row>
    <row r="6" spans="1:2" x14ac:dyDescent="0.2">
      <c r="A6" t="s">
        <v>14</v>
      </c>
      <c r="B6" t="s">
        <v>11</v>
      </c>
    </row>
    <row r="7" spans="1:2" x14ac:dyDescent="0.2">
      <c r="A7" t="s">
        <v>16</v>
      </c>
      <c r="B7" t="s">
        <v>6</v>
      </c>
    </row>
    <row r="8" spans="1:2" x14ac:dyDescent="0.2">
      <c r="A8" t="s">
        <v>17</v>
      </c>
      <c r="B8" t="s">
        <v>6</v>
      </c>
    </row>
    <row r="9" spans="1:2" x14ac:dyDescent="0.2">
      <c r="A9" t="s">
        <v>18</v>
      </c>
      <c r="B9" t="s">
        <v>6</v>
      </c>
    </row>
    <row r="10" spans="1:2" x14ac:dyDescent="0.2">
      <c r="A10" t="s">
        <v>13</v>
      </c>
      <c r="B10" t="s">
        <v>6</v>
      </c>
    </row>
    <row r="11" spans="1:2" x14ac:dyDescent="0.2">
      <c r="A11" t="s">
        <v>19</v>
      </c>
      <c r="B11" s="1" t="s">
        <v>6</v>
      </c>
    </row>
    <row r="12" spans="1:2" x14ac:dyDescent="0.2">
      <c r="A12" t="s">
        <v>20</v>
      </c>
      <c r="B12" s="1" t="s">
        <v>6</v>
      </c>
    </row>
    <row r="13" spans="1:2" x14ac:dyDescent="0.2">
      <c r="A13" t="s">
        <v>21</v>
      </c>
      <c r="B13" t="s">
        <v>6</v>
      </c>
    </row>
    <row r="14" spans="1:2" x14ac:dyDescent="0.2">
      <c r="A14" t="s">
        <v>25</v>
      </c>
      <c r="B14" t="s">
        <v>11</v>
      </c>
    </row>
    <row r="15" spans="1:2" x14ac:dyDescent="0.2">
      <c r="A15" t="s">
        <v>22</v>
      </c>
      <c r="B15" t="s">
        <v>11</v>
      </c>
    </row>
    <row r="16" spans="1:2" x14ac:dyDescent="0.2">
      <c r="A16" t="s">
        <v>23</v>
      </c>
      <c r="B16" t="s">
        <v>11</v>
      </c>
    </row>
    <row r="17" spans="1:2" x14ac:dyDescent="0.2">
      <c r="A17" t="s">
        <v>26</v>
      </c>
      <c r="B17" t="s">
        <v>6</v>
      </c>
    </row>
    <row r="18" spans="1:2" x14ac:dyDescent="0.2">
      <c r="A18" t="s">
        <v>27</v>
      </c>
      <c r="B18" t="s">
        <v>6</v>
      </c>
    </row>
    <row r="19" spans="1:2" x14ac:dyDescent="0.2">
      <c r="A19" t="s">
        <v>28</v>
      </c>
      <c r="B19" t="s">
        <v>6</v>
      </c>
    </row>
    <row r="20" spans="1:2" x14ac:dyDescent="0.2">
      <c r="A20" t="s">
        <v>24</v>
      </c>
      <c r="B20" t="s">
        <v>6</v>
      </c>
    </row>
    <row r="21" spans="1:2" x14ac:dyDescent="0.2">
      <c r="A21" t="s">
        <v>29</v>
      </c>
      <c r="B21" t="s">
        <v>35</v>
      </c>
    </row>
    <row r="22" spans="1:2" x14ac:dyDescent="0.2">
      <c r="A22" t="s">
        <v>30</v>
      </c>
      <c r="B22" t="s">
        <v>6</v>
      </c>
    </row>
    <row r="23" spans="1:2" x14ac:dyDescent="0.2">
      <c r="A23" t="s">
        <v>31</v>
      </c>
      <c r="B23" t="s">
        <v>6</v>
      </c>
    </row>
    <row r="24" spans="1:2" x14ac:dyDescent="0.2">
      <c r="A24" t="s">
        <v>32</v>
      </c>
      <c r="B24" t="s">
        <v>6</v>
      </c>
    </row>
    <row r="25" spans="1:2" x14ac:dyDescent="0.2">
      <c r="A25" t="s">
        <v>33</v>
      </c>
      <c r="B25" t="s">
        <v>6</v>
      </c>
    </row>
    <row r="26" spans="1:2" x14ac:dyDescent="0.2">
      <c r="A26" t="s">
        <v>34</v>
      </c>
      <c r="B2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7DAA-889C-6942-A3B5-3C8A993554C1}">
  <dimension ref="A1:H26"/>
  <sheetViews>
    <sheetView zoomScale="230" zoomScaleNormal="2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8" sqref="F8"/>
    </sheetView>
  </sheetViews>
  <sheetFormatPr baseColWidth="10" defaultColWidth="10.6640625" defaultRowHeight="16" x14ac:dyDescent="0.2"/>
  <cols>
    <col min="1" max="1" width="26.6640625" bestFit="1" customWidth="1"/>
    <col min="2" max="2" width="9.5" bestFit="1" customWidth="1"/>
    <col min="7" max="7" width="44.83203125" bestFit="1" customWidth="1"/>
  </cols>
  <sheetData>
    <row r="1" spans="1:8" x14ac:dyDescent="0.2">
      <c r="A1" s="2" t="s">
        <v>8</v>
      </c>
      <c r="B1" s="2" t="s">
        <v>9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61</v>
      </c>
      <c r="H1" s="2" t="s">
        <v>62</v>
      </c>
    </row>
    <row r="2" spans="1:8" x14ac:dyDescent="0.2">
      <c r="A2" s="1" t="s">
        <v>12</v>
      </c>
      <c r="B2" t="s">
        <v>10</v>
      </c>
      <c r="C2">
        <v>1270</v>
      </c>
      <c r="D2">
        <f t="shared" ref="D2:D26" si="0">C2*0.9</f>
        <v>1143</v>
      </c>
      <c r="E2">
        <f t="shared" ref="E2:E26" si="1">C2*1.1</f>
        <v>1397</v>
      </c>
      <c r="F2" t="s">
        <v>0</v>
      </c>
      <c r="G2" t="s">
        <v>36</v>
      </c>
      <c r="H2" s="3" t="s">
        <v>37</v>
      </c>
    </row>
    <row r="3" spans="1:8" x14ac:dyDescent="0.2">
      <c r="A3" s="1" t="s">
        <v>7</v>
      </c>
      <c r="B3" t="s">
        <v>10</v>
      </c>
      <c r="C3">
        <v>4.9000000000000004</v>
      </c>
      <c r="D3">
        <f t="shared" si="0"/>
        <v>4.41</v>
      </c>
      <c r="E3">
        <f t="shared" si="1"/>
        <v>5.3900000000000006</v>
      </c>
      <c r="F3" t="s">
        <v>0</v>
      </c>
      <c r="G3" t="s">
        <v>36</v>
      </c>
      <c r="H3" s="3" t="s">
        <v>38</v>
      </c>
    </row>
    <row r="4" spans="1:8" x14ac:dyDescent="0.2">
      <c r="A4" s="1" t="s">
        <v>15</v>
      </c>
      <c r="B4" t="s">
        <v>10</v>
      </c>
      <c r="C4">
        <v>21000</v>
      </c>
      <c r="D4">
        <f t="shared" si="0"/>
        <v>18900</v>
      </c>
      <c r="E4">
        <f t="shared" si="1"/>
        <v>23100.000000000004</v>
      </c>
      <c r="F4" t="s">
        <v>0</v>
      </c>
      <c r="G4" t="s">
        <v>36</v>
      </c>
      <c r="H4" s="3" t="s">
        <v>39</v>
      </c>
    </row>
    <row r="5" spans="1:8" x14ac:dyDescent="0.2">
      <c r="A5" s="1" t="s">
        <v>63</v>
      </c>
      <c r="B5" t="s">
        <v>10</v>
      </c>
      <c r="C5">
        <v>512.62992915085294</v>
      </c>
      <c r="D5">
        <f t="shared" ref="D5" si="2">C5*0.9</f>
        <v>461.36693623576764</v>
      </c>
      <c r="E5">
        <f t="shared" ref="E5" si="3">C5*1.1</f>
        <v>563.89292206593825</v>
      </c>
      <c r="F5" t="s">
        <v>0</v>
      </c>
      <c r="G5" t="s">
        <v>36</v>
      </c>
      <c r="H5" s="3" t="s">
        <v>64</v>
      </c>
    </row>
    <row r="6" spans="1:8" x14ac:dyDescent="0.2">
      <c r="A6" s="1" t="s">
        <v>14</v>
      </c>
      <c r="B6" t="s">
        <v>10</v>
      </c>
      <c r="C6">
        <v>954</v>
      </c>
      <c r="D6">
        <f t="shared" si="0"/>
        <v>858.6</v>
      </c>
      <c r="E6">
        <f t="shared" si="1"/>
        <v>1049.4000000000001</v>
      </c>
      <c r="F6" t="s">
        <v>0</v>
      </c>
      <c r="G6" t="s">
        <v>36</v>
      </c>
      <c r="H6" s="3" t="s">
        <v>40</v>
      </c>
    </row>
    <row r="7" spans="1:8" ht="51" x14ac:dyDescent="0.2">
      <c r="A7" s="1" t="s">
        <v>16</v>
      </c>
      <c r="B7" t="s">
        <v>10</v>
      </c>
      <c r="C7">
        <v>6.05</v>
      </c>
      <c r="D7">
        <f t="shared" si="0"/>
        <v>5.4450000000000003</v>
      </c>
      <c r="E7">
        <f t="shared" si="1"/>
        <v>6.6550000000000002</v>
      </c>
      <c r="F7" t="s">
        <v>0</v>
      </c>
      <c r="G7" t="s">
        <v>36</v>
      </c>
      <c r="H7" s="4" t="s">
        <v>41</v>
      </c>
    </row>
    <row r="8" spans="1:8" x14ac:dyDescent="0.2">
      <c r="A8" s="1" t="s">
        <v>17</v>
      </c>
      <c r="B8" t="s">
        <v>10</v>
      </c>
      <c r="C8">
        <v>31.4</v>
      </c>
      <c r="D8">
        <f t="shared" si="0"/>
        <v>28.259999999999998</v>
      </c>
      <c r="E8">
        <f t="shared" si="1"/>
        <v>34.54</v>
      </c>
      <c r="F8" t="s">
        <v>0</v>
      </c>
      <c r="G8" t="s">
        <v>36</v>
      </c>
      <c r="H8" s="3" t="s">
        <v>42</v>
      </c>
    </row>
    <row r="9" spans="1:8" x14ac:dyDescent="0.2">
      <c r="A9" s="1" t="s">
        <v>18</v>
      </c>
      <c r="B9" t="s">
        <v>10</v>
      </c>
      <c r="C9">
        <v>13.1</v>
      </c>
      <c r="D9">
        <f t="shared" si="0"/>
        <v>11.79</v>
      </c>
      <c r="E9">
        <f t="shared" si="1"/>
        <v>14.41</v>
      </c>
      <c r="F9" t="s">
        <v>0</v>
      </c>
      <c r="G9" t="s">
        <v>36</v>
      </c>
      <c r="H9" s="3" t="s">
        <v>43</v>
      </c>
    </row>
    <row r="10" spans="1:8" x14ac:dyDescent="0.2">
      <c r="A10" s="1" t="s">
        <v>13</v>
      </c>
      <c r="B10" t="s">
        <v>10</v>
      </c>
      <c r="C10">
        <v>6</v>
      </c>
      <c r="D10">
        <f t="shared" si="0"/>
        <v>5.4</v>
      </c>
      <c r="E10">
        <f t="shared" si="1"/>
        <v>6.6000000000000005</v>
      </c>
      <c r="F10" t="s">
        <v>0</v>
      </c>
      <c r="G10" t="s">
        <v>36</v>
      </c>
      <c r="H10" s="3" t="s">
        <v>44</v>
      </c>
    </row>
    <row r="11" spans="1:8" x14ac:dyDescent="0.2">
      <c r="A11" s="1" t="s">
        <v>19</v>
      </c>
      <c r="B11" t="s">
        <v>10</v>
      </c>
      <c r="C11">
        <v>62.7</v>
      </c>
      <c r="D11">
        <f t="shared" si="0"/>
        <v>56.430000000000007</v>
      </c>
      <c r="E11">
        <f t="shared" si="1"/>
        <v>68.970000000000013</v>
      </c>
      <c r="F11" t="s">
        <v>0</v>
      </c>
      <c r="G11" t="s">
        <v>36</v>
      </c>
      <c r="H11" s="3" t="s">
        <v>45</v>
      </c>
    </row>
    <row r="12" spans="1:8" x14ac:dyDescent="0.2">
      <c r="A12" s="1" t="s">
        <v>20</v>
      </c>
      <c r="B12" t="s">
        <v>10</v>
      </c>
      <c r="C12">
        <v>1190</v>
      </c>
      <c r="D12">
        <f t="shared" si="0"/>
        <v>1071</v>
      </c>
      <c r="E12">
        <f t="shared" si="1"/>
        <v>1309</v>
      </c>
      <c r="F12" t="s">
        <v>0</v>
      </c>
      <c r="G12" t="s">
        <v>36</v>
      </c>
      <c r="H12" s="3" t="s">
        <v>46</v>
      </c>
    </row>
    <row r="13" spans="1:8" x14ac:dyDescent="0.2">
      <c r="A13" s="1" t="s">
        <v>21</v>
      </c>
      <c r="B13" t="s">
        <v>10</v>
      </c>
      <c r="C13">
        <v>8.76</v>
      </c>
      <c r="D13">
        <f t="shared" si="0"/>
        <v>7.8840000000000003</v>
      </c>
      <c r="E13">
        <f t="shared" si="1"/>
        <v>9.636000000000001</v>
      </c>
      <c r="F13" t="s">
        <v>0</v>
      </c>
      <c r="G13" t="s">
        <v>36</v>
      </c>
      <c r="H13" s="3" t="s">
        <v>47</v>
      </c>
    </row>
    <row r="14" spans="1:8" x14ac:dyDescent="0.2">
      <c r="A14" s="1" t="s">
        <v>25</v>
      </c>
      <c r="B14" t="s">
        <v>10</v>
      </c>
      <c r="C14">
        <v>232</v>
      </c>
      <c r="D14">
        <f t="shared" si="0"/>
        <v>208.8</v>
      </c>
      <c r="E14">
        <f t="shared" si="1"/>
        <v>255.20000000000002</v>
      </c>
      <c r="F14" t="s">
        <v>0</v>
      </c>
      <c r="G14" t="s">
        <v>36</v>
      </c>
      <c r="H14" s="3" t="s">
        <v>48</v>
      </c>
    </row>
    <row r="15" spans="1:8" x14ac:dyDescent="0.2">
      <c r="A15" s="1" t="s">
        <v>22</v>
      </c>
      <c r="B15" t="s">
        <v>10</v>
      </c>
      <c r="C15">
        <v>780</v>
      </c>
      <c r="D15">
        <f t="shared" si="0"/>
        <v>702</v>
      </c>
      <c r="E15">
        <f t="shared" si="1"/>
        <v>858.00000000000011</v>
      </c>
      <c r="F15" t="s">
        <v>0</v>
      </c>
      <c r="G15" t="s">
        <v>36</v>
      </c>
      <c r="H15" s="3" t="s">
        <v>49</v>
      </c>
    </row>
    <row r="16" spans="1:8" x14ac:dyDescent="0.2">
      <c r="A16" s="1" t="s">
        <v>23</v>
      </c>
      <c r="B16" t="s">
        <v>10</v>
      </c>
      <c r="C16">
        <v>15100</v>
      </c>
      <c r="D16">
        <f t="shared" si="0"/>
        <v>13590</v>
      </c>
      <c r="E16">
        <f t="shared" si="1"/>
        <v>16610</v>
      </c>
      <c r="F16" t="s">
        <v>0</v>
      </c>
      <c r="G16" t="s">
        <v>36</v>
      </c>
      <c r="H16" s="3" t="s">
        <v>50</v>
      </c>
    </row>
    <row r="17" spans="1:8" x14ac:dyDescent="0.2">
      <c r="A17" s="1" t="s">
        <v>26</v>
      </c>
      <c r="B17" t="s">
        <v>10</v>
      </c>
      <c r="C17">
        <v>2.7</v>
      </c>
      <c r="D17">
        <f t="shared" si="0"/>
        <v>2.4300000000000002</v>
      </c>
      <c r="E17">
        <f t="shared" si="1"/>
        <v>2.9700000000000006</v>
      </c>
      <c r="F17" t="s">
        <v>0</v>
      </c>
      <c r="G17" t="s">
        <v>36</v>
      </c>
      <c r="H17" s="3" t="s">
        <v>51</v>
      </c>
    </row>
    <row r="18" spans="1:8" x14ac:dyDescent="0.2">
      <c r="A18" s="1" t="s">
        <v>27</v>
      </c>
      <c r="B18" t="s">
        <v>10</v>
      </c>
      <c r="C18">
        <v>2.75</v>
      </c>
      <c r="D18">
        <f t="shared" si="0"/>
        <v>2.4750000000000001</v>
      </c>
      <c r="E18">
        <f t="shared" si="1"/>
        <v>3.0250000000000004</v>
      </c>
      <c r="F18" t="s">
        <v>0</v>
      </c>
      <c r="G18" t="s">
        <v>36</v>
      </c>
      <c r="H18" s="3" t="s">
        <v>52</v>
      </c>
    </row>
    <row r="19" spans="1:8" x14ac:dyDescent="0.2">
      <c r="A19" s="1" t="s">
        <v>28</v>
      </c>
      <c r="B19" t="s">
        <v>10</v>
      </c>
      <c r="C19">
        <v>247</v>
      </c>
      <c r="D19">
        <f t="shared" si="0"/>
        <v>222.3</v>
      </c>
      <c r="E19">
        <f t="shared" si="1"/>
        <v>271.70000000000005</v>
      </c>
      <c r="F19" t="s">
        <v>0</v>
      </c>
      <c r="G19" t="s">
        <v>36</v>
      </c>
      <c r="H19" s="3" t="s">
        <v>53</v>
      </c>
    </row>
    <row r="20" spans="1:8" x14ac:dyDescent="0.2">
      <c r="A20" s="1" t="s">
        <v>24</v>
      </c>
      <c r="B20" t="s">
        <v>10</v>
      </c>
      <c r="C20">
        <v>5.19</v>
      </c>
      <c r="D20">
        <f t="shared" si="0"/>
        <v>4.6710000000000003</v>
      </c>
      <c r="E20">
        <f t="shared" si="1"/>
        <v>5.7090000000000005</v>
      </c>
      <c r="F20" t="s">
        <v>0</v>
      </c>
      <c r="G20" t="s">
        <v>36</v>
      </c>
      <c r="H20" s="3" t="s">
        <v>54</v>
      </c>
    </row>
    <row r="21" spans="1:8" x14ac:dyDescent="0.2">
      <c r="A21" s="1" t="s">
        <v>29</v>
      </c>
      <c r="B21" t="s">
        <v>10</v>
      </c>
      <c r="C21">
        <v>6.8599999999999994E-2</v>
      </c>
      <c r="D21">
        <f t="shared" si="0"/>
        <v>6.1739999999999996E-2</v>
      </c>
      <c r="E21">
        <f t="shared" si="1"/>
        <v>7.5459999999999999E-2</v>
      </c>
      <c r="F21" t="s">
        <v>0</v>
      </c>
      <c r="G21" t="s">
        <v>36</v>
      </c>
      <c r="H21" s="3" t="s">
        <v>55</v>
      </c>
    </row>
    <row r="22" spans="1:8" x14ac:dyDescent="0.2">
      <c r="A22" s="1" t="s">
        <v>30</v>
      </c>
      <c r="B22" t="s">
        <v>10</v>
      </c>
      <c r="C22">
        <v>0.90700000000000003</v>
      </c>
      <c r="D22">
        <f t="shared" si="0"/>
        <v>0.81630000000000003</v>
      </c>
      <c r="E22">
        <f t="shared" si="1"/>
        <v>0.99770000000000014</v>
      </c>
      <c r="F22" t="s">
        <v>0</v>
      </c>
      <c r="G22" t="s">
        <v>36</v>
      </c>
      <c r="H22" s="3" t="s">
        <v>56</v>
      </c>
    </row>
    <row r="23" spans="1:8" x14ac:dyDescent="0.2">
      <c r="A23" s="1" t="s">
        <v>31</v>
      </c>
      <c r="B23" t="s">
        <v>10</v>
      </c>
      <c r="C23">
        <v>2.66</v>
      </c>
      <c r="D23">
        <f t="shared" si="0"/>
        <v>2.3940000000000001</v>
      </c>
      <c r="E23">
        <f t="shared" si="1"/>
        <v>2.9260000000000006</v>
      </c>
      <c r="F23" t="s">
        <v>0</v>
      </c>
      <c r="G23" t="s">
        <v>36</v>
      </c>
      <c r="H23" s="3" t="s">
        <v>57</v>
      </c>
    </row>
    <row r="24" spans="1:8" x14ac:dyDescent="0.2">
      <c r="A24" s="1" t="s">
        <v>32</v>
      </c>
      <c r="B24" t="s">
        <v>10</v>
      </c>
      <c r="C24">
        <v>3.61</v>
      </c>
      <c r="D24">
        <f t="shared" si="0"/>
        <v>3.2490000000000001</v>
      </c>
      <c r="E24">
        <f t="shared" si="1"/>
        <v>3.9710000000000001</v>
      </c>
      <c r="F24" t="s">
        <v>0</v>
      </c>
      <c r="G24" t="s">
        <v>36</v>
      </c>
      <c r="H24" s="3" t="s">
        <v>58</v>
      </c>
    </row>
    <row r="25" spans="1:8" x14ac:dyDescent="0.2">
      <c r="A25" s="1" t="s">
        <v>33</v>
      </c>
      <c r="B25" t="s">
        <v>10</v>
      </c>
      <c r="C25">
        <v>2.02</v>
      </c>
      <c r="D25">
        <f t="shared" si="0"/>
        <v>1.8180000000000001</v>
      </c>
      <c r="E25">
        <f t="shared" si="1"/>
        <v>2.2220000000000004</v>
      </c>
      <c r="F25" t="s">
        <v>0</v>
      </c>
      <c r="G25" t="s">
        <v>36</v>
      </c>
      <c r="H25" s="3" t="s">
        <v>59</v>
      </c>
    </row>
    <row r="26" spans="1:8" x14ac:dyDescent="0.2">
      <c r="A26" s="1" t="s">
        <v>34</v>
      </c>
      <c r="B26" t="s">
        <v>10</v>
      </c>
      <c r="C26">
        <v>2.4639104231067801</v>
      </c>
      <c r="D26">
        <f t="shared" si="0"/>
        <v>2.217519380796102</v>
      </c>
      <c r="E26">
        <f t="shared" si="1"/>
        <v>2.7103014654174582</v>
      </c>
      <c r="F26" t="s">
        <v>0</v>
      </c>
      <c r="G26" t="s">
        <v>36</v>
      </c>
      <c r="H26" s="3" t="s">
        <v>60</v>
      </c>
    </row>
  </sheetData>
  <phoneticPr fontId="3" type="noConversion"/>
  <hyperlinks>
    <hyperlink ref="H3" r:id="rId1" xr:uid="{367E4D3F-0B1B-C340-B95F-F1270EE6C1A6}"/>
    <hyperlink ref="H4" r:id="rId2" xr:uid="{D038C90C-73AA-E148-A228-70D61C948BA6}"/>
    <hyperlink ref="H6" r:id="rId3" xr:uid="{63B2DF8E-5674-1045-8503-BAFC3BE21922}"/>
    <hyperlink ref="H7" r:id="rId4" xr:uid="{19D3F1BA-A4B8-5843-979E-B70C4FAF1996}"/>
    <hyperlink ref="H9" r:id="rId5" xr:uid="{48745628-C064-A641-8185-431A951B99FC}"/>
    <hyperlink ref="H10" r:id="rId6" xr:uid="{711F1AAE-AB5B-BB40-BC80-19C2D23B612F}"/>
    <hyperlink ref="H11" r:id="rId7" xr:uid="{468FEAD9-AF48-BD46-A395-362B0EBB788E}"/>
    <hyperlink ref="H12" r:id="rId8" xr:uid="{25E6178E-297E-5C48-B575-4869BA49ECF6}"/>
    <hyperlink ref="H13" r:id="rId9" xr:uid="{827B0761-643C-4B4A-AD37-A97BB4EB3D58}"/>
    <hyperlink ref="H14" r:id="rId10" xr:uid="{1DEB1765-2CF8-6847-9F04-72D9AF87D1A0}"/>
    <hyperlink ref="H15" r:id="rId11" xr:uid="{3935F25F-95BF-124B-9508-2CEACF53EFA5}"/>
    <hyperlink ref="H16" r:id="rId12" xr:uid="{D40434B3-2BFC-4744-AB8B-DEBF7B16033B}"/>
    <hyperlink ref="H17" r:id="rId13" xr:uid="{20800F61-7E69-6E40-9692-651A7B26FDAE}"/>
    <hyperlink ref="H18" r:id="rId14" xr:uid="{4565A72C-4119-6B4F-BCE8-EDFEE894BCFF}"/>
    <hyperlink ref="H19" r:id="rId15" xr:uid="{DEBECE44-E423-DF4A-8913-65ECB472CCD3}"/>
    <hyperlink ref="H20" r:id="rId16" xr:uid="{B488B2F4-93A3-7142-9E65-54031F7E68CD}"/>
    <hyperlink ref="H22" r:id="rId17" xr:uid="{3B97C115-28E5-7D4B-8AD3-FE4CBA4C5EE7}"/>
    <hyperlink ref="H23" r:id="rId18" xr:uid="{A19570DA-B965-3842-BF6C-1D5A10620D78}"/>
    <hyperlink ref="H24" r:id="rId19" xr:uid="{1560EF55-63E7-BA4E-B297-96CBF43B0901}"/>
    <hyperlink ref="H25" r:id="rId20" xr:uid="{3B009D96-C2A0-F642-B739-CC9058FE6D24}"/>
    <hyperlink ref="H8" r:id="rId21" xr:uid="{C1006EAA-FBAA-3C4D-99FA-FA2033AA703C}"/>
    <hyperlink ref="H2" r:id="rId22" xr:uid="{ED78CF03-110F-BA45-86B3-7AEB6D565970}"/>
    <hyperlink ref="H21" r:id="rId23" xr:uid="{0DB48B44-C4C4-484E-9977-22405EAC0B97}"/>
    <hyperlink ref="H26" r:id="rId24" xr:uid="{C0579D73-96A8-8F44-A02C-1037473F5A03}"/>
    <hyperlink ref="H5" r:id="rId25" xr:uid="{1991E7BA-A840-C84B-9B6F-C5D53B23F1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246D-0460-5243-B4C7-44BDDBF6C65F}">
  <dimension ref="A1:H26"/>
  <sheetViews>
    <sheetView tabSelected="1" zoomScale="210" zoomScaleNormal="210" workbookViewId="0">
      <selection activeCell="B1" sqref="B1"/>
    </sheetView>
  </sheetViews>
  <sheetFormatPr baseColWidth="10" defaultRowHeight="16" x14ac:dyDescent="0.2"/>
  <cols>
    <col min="1" max="1" width="18.83203125" bestFit="1" customWidth="1"/>
    <col min="7" max="7" width="34.6640625" bestFit="1" customWidth="1"/>
  </cols>
  <sheetData>
    <row r="1" spans="1:8" x14ac:dyDescent="0.2">
      <c r="A1" s="2" t="s">
        <v>8</v>
      </c>
      <c r="B1" s="2" t="s">
        <v>9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61</v>
      </c>
      <c r="H1" s="2" t="s">
        <v>62</v>
      </c>
    </row>
    <row r="2" spans="1:8" x14ac:dyDescent="0.2">
      <c r="A2" t="s">
        <v>12</v>
      </c>
      <c r="B2" t="s">
        <v>65</v>
      </c>
      <c r="C2">
        <v>1.47</v>
      </c>
      <c r="D2">
        <f>C2*0.9</f>
        <v>1.323</v>
      </c>
      <c r="E2">
        <f>C2*1.1</f>
        <v>1.617</v>
      </c>
      <c r="F2" t="s">
        <v>0</v>
      </c>
      <c r="G2" t="s">
        <v>36</v>
      </c>
      <c r="H2" s="3" t="s">
        <v>37</v>
      </c>
    </row>
    <row r="3" spans="1:8" x14ac:dyDescent="0.2">
      <c r="A3" t="s">
        <v>7</v>
      </c>
      <c r="B3" t="s">
        <v>65</v>
      </c>
      <c r="C3">
        <v>4.1099999999999999E-3</v>
      </c>
      <c r="D3">
        <f t="shared" ref="D3:D26" si="0">C3*0.9</f>
        <v>3.699E-3</v>
      </c>
      <c r="E3">
        <f t="shared" ref="E3:E14" si="1">C3*1.1</f>
        <v>4.5210000000000007E-3</v>
      </c>
      <c r="F3" t="s">
        <v>0</v>
      </c>
      <c r="G3" t="s">
        <v>36</v>
      </c>
      <c r="H3" s="3" t="s">
        <v>38</v>
      </c>
    </row>
    <row r="4" spans="1:8" x14ac:dyDescent="0.2">
      <c r="A4" t="s">
        <v>15</v>
      </c>
      <c r="B4" t="s">
        <v>65</v>
      </c>
      <c r="C4">
        <v>15.9</v>
      </c>
      <c r="D4">
        <f t="shared" si="0"/>
        <v>14.31</v>
      </c>
      <c r="E4">
        <f t="shared" si="1"/>
        <v>17.490000000000002</v>
      </c>
      <c r="F4" t="s">
        <v>0</v>
      </c>
      <c r="G4" t="s">
        <v>36</v>
      </c>
      <c r="H4" s="3" t="s">
        <v>39</v>
      </c>
    </row>
    <row r="5" spans="1:8" x14ac:dyDescent="0.2">
      <c r="A5" t="s">
        <v>63</v>
      </c>
      <c r="B5" t="s">
        <v>65</v>
      </c>
      <c r="C5">
        <v>0.67139429204630197</v>
      </c>
      <c r="D5">
        <f t="shared" si="0"/>
        <v>0.60425486284167174</v>
      </c>
      <c r="E5">
        <f t="shared" ref="E5" si="2">C5*1.1</f>
        <v>0.7385337212509322</v>
      </c>
      <c r="F5" t="s">
        <v>0</v>
      </c>
      <c r="G5" t="s">
        <v>36</v>
      </c>
      <c r="H5" s="3" t="s">
        <v>64</v>
      </c>
    </row>
    <row r="6" spans="1:8" x14ac:dyDescent="0.2">
      <c r="A6" t="s">
        <v>14</v>
      </c>
      <c r="B6" t="s">
        <v>65</v>
      </c>
      <c r="C6">
        <v>1.1599999999999999</v>
      </c>
      <c r="D6">
        <f t="shared" si="0"/>
        <v>1.044</v>
      </c>
      <c r="E6">
        <f t="shared" si="1"/>
        <v>1.276</v>
      </c>
      <c r="F6" t="s">
        <v>0</v>
      </c>
      <c r="G6" t="s">
        <v>36</v>
      </c>
      <c r="H6" s="3" t="s">
        <v>40</v>
      </c>
    </row>
    <row r="7" spans="1:8" ht="51" x14ac:dyDescent="0.2">
      <c r="A7" t="s">
        <v>16</v>
      </c>
      <c r="B7" t="s">
        <v>65</v>
      </c>
      <c r="C7">
        <v>1.7999999999999999E-2</v>
      </c>
      <c r="D7">
        <f t="shared" si="0"/>
        <v>1.6199999999999999E-2</v>
      </c>
      <c r="E7">
        <f t="shared" si="1"/>
        <v>1.9800000000000002E-2</v>
      </c>
      <c r="F7" t="s">
        <v>0</v>
      </c>
      <c r="G7" t="s">
        <v>36</v>
      </c>
      <c r="H7" s="4" t="s">
        <v>41</v>
      </c>
    </row>
    <row r="8" spans="1:8" x14ac:dyDescent="0.2">
      <c r="A8" t="s">
        <v>17</v>
      </c>
      <c r="B8" t="s">
        <v>65</v>
      </c>
      <c r="C8">
        <v>7.1800000000000003E-2</v>
      </c>
      <c r="D8">
        <f t="shared" si="0"/>
        <v>6.4620000000000011E-2</v>
      </c>
      <c r="E8">
        <f t="shared" si="1"/>
        <v>7.8980000000000009E-2</v>
      </c>
      <c r="F8" t="s">
        <v>0</v>
      </c>
      <c r="G8" t="s">
        <v>36</v>
      </c>
      <c r="H8" s="3" t="s">
        <v>42</v>
      </c>
    </row>
    <row r="9" spans="1:8" x14ac:dyDescent="0.2">
      <c r="A9" t="s">
        <v>18</v>
      </c>
      <c r="B9" t="s">
        <v>65</v>
      </c>
      <c r="C9">
        <v>5.2199999999999998E-3</v>
      </c>
      <c r="D9">
        <f t="shared" si="0"/>
        <v>4.6979999999999999E-3</v>
      </c>
      <c r="E9">
        <f t="shared" si="1"/>
        <v>5.7420000000000006E-3</v>
      </c>
      <c r="F9" t="s">
        <v>0</v>
      </c>
      <c r="G9" t="s">
        <v>36</v>
      </c>
      <c r="H9" s="3" t="s">
        <v>43</v>
      </c>
    </row>
    <row r="10" spans="1:8" x14ac:dyDescent="0.2">
      <c r="A10" t="s">
        <v>13</v>
      </c>
      <c r="B10" t="s">
        <v>65</v>
      </c>
      <c r="C10">
        <v>2.23E-2</v>
      </c>
      <c r="D10">
        <f t="shared" si="0"/>
        <v>2.0070000000000001E-2</v>
      </c>
      <c r="E10">
        <f t="shared" si="1"/>
        <v>2.4530000000000003E-2</v>
      </c>
      <c r="F10" t="s">
        <v>0</v>
      </c>
      <c r="G10" t="s">
        <v>36</v>
      </c>
      <c r="H10" s="3" t="s">
        <v>44</v>
      </c>
    </row>
    <row r="11" spans="1:8" x14ac:dyDescent="0.2">
      <c r="A11" t="s">
        <v>19</v>
      </c>
      <c r="B11" t="s">
        <v>65</v>
      </c>
      <c r="C11">
        <v>0.13500000000000001</v>
      </c>
      <c r="D11">
        <f t="shared" si="0"/>
        <v>0.12150000000000001</v>
      </c>
      <c r="E11">
        <f t="shared" si="1"/>
        <v>0.14850000000000002</v>
      </c>
      <c r="F11" t="s">
        <v>0</v>
      </c>
      <c r="G11" t="s">
        <v>36</v>
      </c>
      <c r="H11" s="3" t="s">
        <v>45</v>
      </c>
    </row>
    <row r="12" spans="1:8" x14ac:dyDescent="0.2">
      <c r="A12" t="s">
        <v>20</v>
      </c>
      <c r="B12" t="s">
        <v>65</v>
      </c>
      <c r="C12">
        <v>2.84</v>
      </c>
      <c r="D12">
        <f t="shared" si="0"/>
        <v>2.556</v>
      </c>
      <c r="E12">
        <f t="shared" si="1"/>
        <v>3.1240000000000001</v>
      </c>
      <c r="F12" t="s">
        <v>0</v>
      </c>
      <c r="G12" t="s">
        <v>36</v>
      </c>
      <c r="H12" s="3" t="s">
        <v>46</v>
      </c>
    </row>
    <row r="13" spans="1:8" x14ac:dyDescent="0.2">
      <c r="A13" t="s">
        <v>21</v>
      </c>
      <c r="B13" t="s">
        <v>65</v>
      </c>
      <c r="C13">
        <v>1.0200000000000001E-2</v>
      </c>
      <c r="D13">
        <f t="shared" si="0"/>
        <v>9.1800000000000007E-3</v>
      </c>
      <c r="E13">
        <f t="shared" si="1"/>
        <v>1.1220000000000003E-2</v>
      </c>
      <c r="F13" t="s">
        <v>0</v>
      </c>
      <c r="G13" t="s">
        <v>36</v>
      </c>
      <c r="H13" s="3" t="s">
        <v>47</v>
      </c>
    </row>
    <row r="14" spans="1:8" x14ac:dyDescent="0.2">
      <c r="A14" t="s">
        <v>25</v>
      </c>
      <c r="B14" t="s">
        <v>65</v>
      </c>
      <c r="C14">
        <v>0.20200000000000001</v>
      </c>
      <c r="D14">
        <f t="shared" si="0"/>
        <v>0.18180000000000002</v>
      </c>
      <c r="E14">
        <f t="shared" si="1"/>
        <v>0.22220000000000004</v>
      </c>
      <c r="F14" t="s">
        <v>0</v>
      </c>
      <c r="G14" t="s">
        <v>36</v>
      </c>
      <c r="H14" s="3" t="s">
        <v>48</v>
      </c>
    </row>
    <row r="15" spans="1:8" x14ac:dyDescent="0.2">
      <c r="A15" t="s">
        <v>22</v>
      </c>
      <c r="B15" t="s">
        <v>65</v>
      </c>
      <c r="C15">
        <v>1.03</v>
      </c>
      <c r="D15">
        <f t="shared" si="0"/>
        <v>0.92700000000000005</v>
      </c>
      <c r="E15">
        <f t="shared" ref="E15:E26" si="3">C15*1.1</f>
        <v>1.1330000000000002</v>
      </c>
      <c r="F15" t="s">
        <v>0</v>
      </c>
      <c r="G15" t="s">
        <v>36</v>
      </c>
      <c r="H15" s="3" t="s">
        <v>49</v>
      </c>
    </row>
    <row r="16" spans="1:8" x14ac:dyDescent="0.2">
      <c r="A16" t="s">
        <v>23</v>
      </c>
      <c r="B16" t="s">
        <v>65</v>
      </c>
      <c r="C16">
        <v>16.5</v>
      </c>
      <c r="D16">
        <f t="shared" si="0"/>
        <v>14.85</v>
      </c>
      <c r="E16">
        <f t="shared" si="3"/>
        <v>18.150000000000002</v>
      </c>
      <c r="F16" t="s">
        <v>0</v>
      </c>
      <c r="G16" t="s">
        <v>36</v>
      </c>
      <c r="H16" s="3" t="s">
        <v>50</v>
      </c>
    </row>
    <row r="17" spans="1:8" x14ac:dyDescent="0.2">
      <c r="A17" t="s">
        <v>26</v>
      </c>
      <c r="B17" t="s">
        <v>65</v>
      </c>
      <c r="C17">
        <v>9.3799999999999994E-3</v>
      </c>
      <c r="D17">
        <f t="shared" si="0"/>
        <v>8.4419999999999999E-3</v>
      </c>
      <c r="E17">
        <f t="shared" si="3"/>
        <v>1.0318000000000001E-2</v>
      </c>
      <c r="F17" t="s">
        <v>0</v>
      </c>
      <c r="G17" t="s">
        <v>36</v>
      </c>
      <c r="H17" s="3" t="s">
        <v>51</v>
      </c>
    </row>
    <row r="18" spans="1:8" x14ac:dyDescent="0.2">
      <c r="A18" t="s">
        <v>27</v>
      </c>
      <c r="B18" t="s">
        <v>65</v>
      </c>
      <c r="C18">
        <v>1.5800000000000002E-2</v>
      </c>
      <c r="D18">
        <f t="shared" si="0"/>
        <v>1.4220000000000002E-2</v>
      </c>
      <c r="E18">
        <f t="shared" si="3"/>
        <v>1.7380000000000003E-2</v>
      </c>
      <c r="F18" t="s">
        <v>0</v>
      </c>
      <c r="G18" t="s">
        <v>36</v>
      </c>
      <c r="H18" s="3" t="s">
        <v>52</v>
      </c>
    </row>
    <row r="19" spans="1:8" x14ac:dyDescent="0.2">
      <c r="A19" t="s">
        <v>28</v>
      </c>
      <c r="B19" t="s">
        <v>65</v>
      </c>
      <c r="C19">
        <v>0.434</v>
      </c>
      <c r="D19">
        <f t="shared" si="0"/>
        <v>0.3906</v>
      </c>
      <c r="E19">
        <f t="shared" si="3"/>
        <v>0.47740000000000005</v>
      </c>
      <c r="F19" t="s">
        <v>0</v>
      </c>
      <c r="G19" t="s">
        <v>36</v>
      </c>
      <c r="H19" s="3" t="s">
        <v>53</v>
      </c>
    </row>
    <row r="20" spans="1:8" x14ac:dyDescent="0.2">
      <c r="A20" t="s">
        <v>24</v>
      </c>
      <c r="B20" t="s">
        <v>65</v>
      </c>
      <c r="C20">
        <v>1.72E-2</v>
      </c>
      <c r="D20">
        <f t="shared" si="0"/>
        <v>1.5480000000000001E-2</v>
      </c>
      <c r="E20">
        <f t="shared" si="3"/>
        <v>1.8920000000000003E-2</v>
      </c>
      <c r="F20" t="s">
        <v>0</v>
      </c>
      <c r="G20" t="s">
        <v>36</v>
      </c>
      <c r="H20" s="3" t="s">
        <v>54</v>
      </c>
    </row>
    <row r="21" spans="1:8" x14ac:dyDescent="0.2">
      <c r="A21" t="s">
        <v>29</v>
      </c>
      <c r="B21" t="s">
        <v>65</v>
      </c>
      <c r="C21">
        <v>9.8099999999999992E-6</v>
      </c>
      <c r="D21">
        <f t="shared" si="0"/>
        <v>8.8289999999999997E-6</v>
      </c>
      <c r="E21">
        <f t="shared" si="3"/>
        <v>1.0791000000000001E-5</v>
      </c>
      <c r="F21" t="s">
        <v>0</v>
      </c>
      <c r="G21" t="s">
        <v>36</v>
      </c>
      <c r="H21" s="3" t="s">
        <v>55</v>
      </c>
    </row>
    <row r="22" spans="1:8" x14ac:dyDescent="0.2">
      <c r="A22" t="s">
        <v>30</v>
      </c>
      <c r="B22" t="s">
        <v>65</v>
      </c>
      <c r="C22">
        <v>1.7200000000000001E-4</v>
      </c>
      <c r="D22">
        <f t="shared" si="0"/>
        <v>1.5480000000000002E-4</v>
      </c>
      <c r="E22">
        <f t="shared" si="3"/>
        <v>1.8920000000000002E-4</v>
      </c>
      <c r="F22" t="s">
        <v>0</v>
      </c>
      <c r="G22" t="s">
        <v>36</v>
      </c>
      <c r="H22" s="3" t="s">
        <v>56</v>
      </c>
    </row>
    <row r="23" spans="1:8" x14ac:dyDescent="0.2">
      <c r="A23" t="s">
        <v>31</v>
      </c>
      <c r="B23" t="s">
        <v>65</v>
      </c>
      <c r="C23">
        <v>4.0999999999999999E-4</v>
      </c>
      <c r="D23">
        <f t="shared" si="0"/>
        <v>3.6900000000000002E-4</v>
      </c>
      <c r="E23">
        <f t="shared" si="3"/>
        <v>4.5100000000000001E-4</v>
      </c>
      <c r="F23" t="s">
        <v>0</v>
      </c>
      <c r="G23" t="s">
        <v>36</v>
      </c>
      <c r="H23" s="3" t="s">
        <v>57</v>
      </c>
    </row>
    <row r="24" spans="1:8" x14ac:dyDescent="0.2">
      <c r="A24" t="s">
        <v>32</v>
      </c>
      <c r="B24" t="s">
        <v>65</v>
      </c>
      <c r="C24">
        <v>5.7099999999999998E-3</v>
      </c>
      <c r="D24">
        <f t="shared" si="0"/>
        <v>5.1390000000000003E-3</v>
      </c>
      <c r="E24">
        <f t="shared" si="3"/>
        <v>6.2810000000000001E-3</v>
      </c>
      <c r="F24" t="s">
        <v>0</v>
      </c>
      <c r="G24" t="s">
        <v>36</v>
      </c>
      <c r="H24" s="3" t="s">
        <v>58</v>
      </c>
    </row>
    <row r="25" spans="1:8" x14ac:dyDescent="0.2">
      <c r="A25" t="s">
        <v>33</v>
      </c>
      <c r="B25" t="s">
        <v>65</v>
      </c>
      <c r="C25">
        <v>1.97E-3</v>
      </c>
      <c r="D25">
        <f t="shared" si="0"/>
        <v>1.7730000000000001E-3</v>
      </c>
      <c r="E25">
        <f t="shared" si="3"/>
        <v>2.1670000000000001E-3</v>
      </c>
      <c r="F25" t="s">
        <v>0</v>
      </c>
      <c r="G25" t="s">
        <v>36</v>
      </c>
      <c r="H25" s="3" t="s">
        <v>59</v>
      </c>
    </row>
    <row r="26" spans="1:8" x14ac:dyDescent="0.2">
      <c r="A26" s="1" t="s">
        <v>34</v>
      </c>
      <c r="B26" t="s">
        <v>65</v>
      </c>
      <c r="C26">
        <v>2.8269026923248698E-3</v>
      </c>
      <c r="D26">
        <f t="shared" si="0"/>
        <v>2.5442124230923829E-3</v>
      </c>
      <c r="E26">
        <f t="shared" si="3"/>
        <v>3.1095929615573572E-3</v>
      </c>
      <c r="F26" t="s">
        <v>0</v>
      </c>
      <c r="G26" t="s">
        <v>36</v>
      </c>
      <c r="H26" s="3" t="s">
        <v>60</v>
      </c>
    </row>
  </sheetData>
  <hyperlinks>
    <hyperlink ref="H3" r:id="rId1" xr:uid="{1C843788-D474-2E4E-A343-1484611769B8}"/>
    <hyperlink ref="H4" r:id="rId2" xr:uid="{8A473047-E52C-D242-907B-B31B1A3B7CA7}"/>
    <hyperlink ref="H6" r:id="rId3" xr:uid="{20B7C097-F894-2143-9675-BA37EA402928}"/>
    <hyperlink ref="H7" r:id="rId4" xr:uid="{6855C405-6A82-B949-BC02-766B5A17F547}"/>
    <hyperlink ref="H9" r:id="rId5" xr:uid="{210B8BD7-EA33-0146-B95B-C34481EEC9AD}"/>
    <hyperlink ref="H10" r:id="rId6" xr:uid="{BB7F8FDA-F695-7A48-B8BD-D7FAE87F3A52}"/>
    <hyperlink ref="H11" r:id="rId7" xr:uid="{948C6B59-64AB-B544-B3D1-7704921551F7}"/>
    <hyperlink ref="H12" r:id="rId8" xr:uid="{501B1F8B-B930-DC4E-B453-D42C50B1B986}"/>
    <hyperlink ref="H13" r:id="rId9" xr:uid="{A9A01247-DED1-7740-AB1D-73818C241ABB}"/>
    <hyperlink ref="H14" r:id="rId10" xr:uid="{1D0FAC75-62EF-424A-B144-5DC42B3CF81D}"/>
    <hyperlink ref="H15" r:id="rId11" xr:uid="{615DD2A5-70D5-674F-821B-236AFAE74BFA}"/>
    <hyperlink ref="H16" r:id="rId12" xr:uid="{55C5A1E0-8156-F942-A6F4-1FAC6B503620}"/>
    <hyperlink ref="H17" r:id="rId13" xr:uid="{8395B62A-FB33-3749-81BF-F5AE460CF4E3}"/>
    <hyperlink ref="H18" r:id="rId14" xr:uid="{BE8AA0E2-79C2-D44D-87AA-331C0003B670}"/>
    <hyperlink ref="H19" r:id="rId15" xr:uid="{165DA4AB-8783-8C48-9321-365876E67708}"/>
    <hyperlink ref="H20" r:id="rId16" xr:uid="{89CFB3EB-4A62-AF4C-AAE5-8B26C9FF0FCF}"/>
    <hyperlink ref="H22" r:id="rId17" xr:uid="{2FBEAA20-C32D-0149-BC40-9AFF74FE2D9D}"/>
    <hyperlink ref="H23" r:id="rId18" xr:uid="{42BDCEC0-91A1-544F-8599-8BE02F0E968A}"/>
    <hyperlink ref="H24" r:id="rId19" xr:uid="{334DE078-6BD7-F447-B030-17D451D6EE05}"/>
    <hyperlink ref="H25" r:id="rId20" xr:uid="{ACF7E1D7-3885-1141-BB51-9B3405BA7A19}"/>
    <hyperlink ref="H8" r:id="rId21" xr:uid="{52D6DF17-88A8-A84D-902D-FC8ED991C5E7}"/>
    <hyperlink ref="H2" r:id="rId22" xr:uid="{3C08274A-2E2B-2545-9A80-D7C3ECDED4C4}"/>
    <hyperlink ref="H21" r:id="rId23" xr:uid="{3B1E66EB-502B-5B45-A4F0-7E1097BCC0D2}"/>
    <hyperlink ref="H26" r:id="rId24" xr:uid="{24B299D2-09B0-1441-BB67-61CC3F3BD7D4}"/>
    <hyperlink ref="H5" r:id="rId25" xr:uid="{E341F3F5-C39A-BC44-97D4-267EF7EF65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GWP</vt:lpstr>
      <vt:lpstr>EUT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Li</dc:creator>
  <cp:lastModifiedBy>Wang, Zixuan</cp:lastModifiedBy>
  <dcterms:created xsi:type="dcterms:W3CDTF">2020-11-13T14:42:01Z</dcterms:created>
  <dcterms:modified xsi:type="dcterms:W3CDTF">2026-08-06T17:20:41Z</dcterms:modified>
</cp:coreProperties>
</file>